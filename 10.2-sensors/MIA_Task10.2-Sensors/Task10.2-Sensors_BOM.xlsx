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w3a\Extracurricular\MIA\Task10\"/>
    </mc:Choice>
  </mc:AlternateContent>
  <xr:revisionPtr revIDLastSave="0" documentId="8_{F5A3C160-472F-4179-885B-02F30DB7DA6E}" xr6:coauthVersionLast="47" xr6:coauthVersionMax="47" xr10:uidLastSave="{00000000-0000-0000-0000-000000000000}"/>
  <bookViews>
    <workbookView xWindow="-108" yWindow="-108" windowWidth="23256" windowHeight="12456" xr2:uid="{A54DCC0D-CE8A-40D4-B4A9-A8701F769C5C}"/>
  </bookViews>
  <sheets>
    <sheet name="MIA_Task10.2-Sensors" sheetId="1" r:id="rId1"/>
  </sheets>
  <definedNames>
    <definedName name="_xlnm.Print_Titles" localSheetId="0">'MIA_Task10.2-Sensors'!$1:$1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E20" i="1" l="1"/>
</calcChain>
</file>

<file path=xl/sharedStrings.xml><?xml version="1.0" encoding="utf-8"?>
<sst xmlns="http://schemas.openxmlformats.org/spreadsheetml/2006/main" count="113" uniqueCount="95">
  <si>
    <t>Name</t>
  </si>
  <si>
    <t>Description</t>
  </si>
  <si>
    <t>Designator</t>
  </si>
  <si>
    <t>Footprint</t>
  </si>
  <si>
    <t>LibRef</t>
  </si>
  <si>
    <t>Quantity</t>
  </si>
  <si>
    <t>Capacitor 100nF +/-10% 50V 0603</t>
  </si>
  <si>
    <t>Chip Capacitor, 100nF +/-10%, 50V, 0603, Thickness 0.6 mm</t>
  </si>
  <si>
    <t>C1, C2, C3, C4, C5</t>
  </si>
  <si>
    <t>CAPC0402(1005)60_L</t>
  </si>
  <si>
    <t>CMP-001-00073-3</t>
  </si>
  <si>
    <t>Capacitor 10uF +/-10% 25V 0805</t>
  </si>
  <si>
    <t>Chip Capacitor, 10uF +/-10%, 25V, 0805, Thickness 0.6 mm</t>
  </si>
  <si>
    <t>C6</t>
  </si>
  <si>
    <t>HSMY-C190</t>
  </si>
  <si>
    <t>LED Uni-Color Yellow, 65 mW, 20 mA, -40 to 85 degC, 2-Pin SMD, RoHS, Tape and Reel</t>
  </si>
  <si>
    <t>DS1</t>
  </si>
  <si>
    <t>AVAG-HSMX-C190_V</t>
  </si>
  <si>
    <t>CMP-007-00017-2</t>
  </si>
  <si>
    <t>HSMH-C190</t>
  </si>
  <si>
    <t>LED Uni-Color Red, 65 mW, 20 mA, -40 to 85 degC, 2-Pin SMD, RoHS, Tape and Reel</t>
  </si>
  <si>
    <t>DS2</t>
  </si>
  <si>
    <t>CMP-007-00014-2</t>
  </si>
  <si>
    <t>6200XX11821_62003211821</t>
  </si>
  <si>
    <t>Female header Temperature range: -40 ... +125 Â°C Colour: Black Connector Design: Single Row / Straight Connector Termination: THT Contact material: Gold-Plated Copper Gender of contacts: Female Housing Material: Polybutylene Terephthalate (PBT) Pitch: 2</t>
  </si>
  <si>
    <t>J1, J2</t>
  </si>
  <si>
    <t>62003211821</t>
  </si>
  <si>
    <t>S4B-XH-A(LF)(SN)</t>
  </si>
  <si>
    <t>Male Header, Pitch 2.5 mm, 1 x 4 Position, Height 6.1 mm, Tail Length 3.4 mm, -25 to 85 degC, RoHS, Bulk</t>
  </si>
  <si>
    <t>P1</t>
  </si>
  <si>
    <t>JST-S4B-XH-A(LF)(SN)_V</t>
  </si>
  <si>
    <t>CMP-002-00034-2</t>
  </si>
  <si>
    <t>S3B-XH-A(LF)(SN)</t>
  </si>
  <si>
    <t>Male Header, Pitch 2.5 mm, 1 x 3 Position, Height 6.1 mm, Tail Length 3.4 mm, -25 to 85 degC, RoHS, Bulk</t>
  </si>
  <si>
    <t>P2</t>
  </si>
  <si>
    <t>JST-S3B-XH-A(LF)(SN)_V</t>
  </si>
  <si>
    <t>CMP-002-00033-2</t>
  </si>
  <si>
    <t>S2B-XH-A(LF)(SN)</t>
  </si>
  <si>
    <t>Male Header, Pitch 2.5 mm, 1 x 2 Position, Height 6.1 mm, Tail Length 3.4 mm, -25 to 85 degC, RoHS, Bulk</t>
  </si>
  <si>
    <t>P3</t>
  </si>
  <si>
    <t>JST-S2B-XH-A(LF)(SN)_V</t>
  </si>
  <si>
    <t>CMP-002-00032-2</t>
  </si>
  <si>
    <t>Resistor 1k +/-5% 1/10W 0603</t>
  </si>
  <si>
    <t>Chip Resistor, 1k Ohms, +/-5%, 1/10W, 0603</t>
  </si>
  <si>
    <t>R1</t>
  </si>
  <si>
    <t>RESC0402(1005)_L</t>
  </si>
  <si>
    <t>CMP-009-00137-3</t>
  </si>
  <si>
    <t>Resistor 2k +/-5% 1/10W 0603</t>
  </si>
  <si>
    <t>Chip Resistor, 2k Ohms, +/-5%, 1/10W, 0603</t>
  </si>
  <si>
    <t>R2</t>
  </si>
  <si>
    <t>Resistor 4.7k +/-5% 1/10W 0603</t>
  </si>
  <si>
    <t>Chip Resistor, 4.7k Ohms, +/-5%, 1/10W, 0603</t>
  </si>
  <si>
    <t>R3, R4</t>
  </si>
  <si>
    <t>Resistor 10k +/-5% 1/10W 0603</t>
  </si>
  <si>
    <t>Chip Resistor, 10k Ohms, +/-5%, 1/10W, 0603</t>
  </si>
  <si>
    <t>R5</t>
  </si>
  <si>
    <t>Resistor 330R +/-5% 1/10W 0805</t>
  </si>
  <si>
    <t>Chip Resistor, 330 Ohms, +/-5%, 1/10W, 0805</t>
  </si>
  <si>
    <t>R6, R7</t>
  </si>
  <si>
    <t>GY-521</t>
  </si>
  <si>
    <t>Triple Axis Accelerometer Gyro Breakout</t>
  </si>
  <si>
    <t>U1</t>
  </si>
  <si>
    <t>MODULE_GY-521</t>
  </si>
  <si>
    <t>HC-SR04</t>
  </si>
  <si>
    <t>Ultrasonic Sensor Module</t>
  </si>
  <si>
    <t>U2</t>
  </si>
  <si>
    <t>XCVR_HC-SR04</t>
  </si>
  <si>
    <t>USBLC6-2SC6</t>
  </si>
  <si>
    <t>17V Clamp 5A (8/20Âµs) Ipp Tvs Diode Surface Mount SOT-23-6</t>
  </si>
  <si>
    <t>U3</t>
  </si>
  <si>
    <t>SOT95P280X145-6N</t>
  </si>
  <si>
    <t>Adafruit-BNO055</t>
  </si>
  <si>
    <t>Adafruit 9-DOF Absolute Orientation IMU Fusion Breakout - BNO055 | Adafruit Industries 2472</t>
  </si>
  <si>
    <t>U4</t>
  </si>
  <si>
    <t>MODULE_2472</t>
  </si>
  <si>
    <t>Supplier Link</t>
  </si>
  <si>
    <t>Price</t>
  </si>
  <si>
    <t>https://makerselectronics.com/product/mpu-6050-imu-sensor-module-with-6-dof-gyroscope-accelerometer</t>
  </si>
  <si>
    <t>https://store.fut-electronics.com/products/ultrasonic-sensor-module?srsltid=AfmBOoq_YJXfbLI1iDC6IVOKMJdZhO4iG-qxw_L6wWBZfpXa_Jaf7edE</t>
  </si>
  <si>
    <t>https://uge-one.com/product/usblc6-2sc6-esd-protection-tvs-unidirectional-dual-array-sot23-6/?srsltid=AfmBOoqaDx91zqxQXQ-GpplYuqR-loDjQQTuFoIu7uGVFHpXsEGgcTto</t>
  </si>
  <si>
    <t>https://electra.store/products/adafruit-absolute-orientation-sensor-bno055-9-axis-imu?srsltid=AfmBOooeygLU8j1OKxtnAFVfxRDv0loHJKcG4H9jQ7gSv-bygm93woe4</t>
  </si>
  <si>
    <t>https://makerselectronics.com/product/smd-led-0805/</t>
  </si>
  <si>
    <t>https://makerselectronics.com/product/pin-headers-female-2-54mm-40-pin/</t>
  </si>
  <si>
    <t>https://makerselectronics.com/product/jst-xh-female-to-female-data-cable-3/</t>
  </si>
  <si>
    <t>https://makerselectronics.com/product/jst-xh-female-to-female-data-cable/</t>
  </si>
  <si>
    <t>https://makerselectronics.com/product/jst-2-pin-power-cable-15cm-2-54mm/</t>
  </si>
  <si>
    <t>https://makerselectronics.com/product/multilayer-ceramic-smd-capacitor-mlcc-smd-smt-100nf-%c2%b110-50v-x7r-0603/</t>
  </si>
  <si>
    <t>https://makerselectronics.com/product/multilayer-ceramic-capacitors-mlcc-smd-smt-10uf-%C2%B110-25v-0805/</t>
  </si>
  <si>
    <t>Line Total</t>
  </si>
  <si>
    <t>https://makerselectronics.com/product/chip-resistor-smd-1k%CF%89-%C2%B11-100mw-%C2%B1100ppm-%E2%84%83-0603/</t>
  </si>
  <si>
    <t>https://makerselectronics.com/product/chip-resistor-smd-2k%CF%89-%C2%B15-250mw-1206/</t>
  </si>
  <si>
    <t>https://makerselectronics.com/product/chip-resistor-smd-4-7k%CF%89-%C2%B11-100mw-%C2%B1100ppm-%E2%84%83-0603/</t>
  </si>
  <si>
    <t>https://makerselectronics.com/product/chip-resistor-smd-10k%CF%89-%C2%B11-100mw-%C2%B1100ppm-%E2%84%83-0603/</t>
  </si>
  <si>
    <t>https://makerselectronics.com/product/chip-resistor-smd-330%CF%89-%C2%B15-250mw-1206/</t>
  </si>
  <si>
    <t xml:space="preserve">TOTAL ESTIMATED COST: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</si>
</sst>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L.E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2" xfId="1" applyFill="1" applyBorder="1"/>
    <xf numFmtId="0" fontId="2" fillId="0" borderId="0" xfId="1" applyAlignment="1">
      <alignment vertical="center"/>
    </xf>
    <xf numFmtId="0" fontId="2" fillId="0" borderId="3" xfId="1" applyFill="1" applyBorder="1"/>
    <xf numFmtId="0" fontId="2" fillId="0" borderId="0" xfId="1" applyFill="1" applyBorder="1"/>
    <xf numFmtId="0" fontId="2" fillId="0" borderId="0" xfId="1"/>
    <xf numFmtId="0" fontId="1" fillId="0" borderId="0" xfId="0" applyFont="1"/>
    <xf numFmtId="0" fontId="1" fillId="0" borderId="0" xfId="0" applyFont="1" applyFill="1" applyBorder="1"/>
    <xf numFmtId="166" fontId="0" fillId="2" borderId="0" xfId="0" applyNumberFormat="1" applyFill="1" applyBorder="1"/>
    <xf numFmtId="166" fontId="0" fillId="0" borderId="2" xfId="0" applyNumberFormat="1" applyFill="1" applyBorder="1"/>
    <xf numFmtId="166" fontId="0" fillId="0" borderId="3" xfId="0" applyNumberFormat="1" applyFill="1" applyBorder="1"/>
    <xf numFmtId="166" fontId="1" fillId="0" borderId="0" xfId="0" applyNumberFormat="1" applyFon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kerselectronics.com/product/jst-2-pin-power-cable-15cm-2-54mm/" TargetMode="External"/><Relationship Id="rId13" Type="http://schemas.openxmlformats.org/officeDocument/2006/relationships/hyperlink" Target="https://makerselectronics.com/product/smd-led-0805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akerselectronics.com/product/chip-resistor-smd-4-7k%CF%89-%C2%B11-100mw-%C2%B1100ppm-%E2%84%83-0603/" TargetMode="External"/><Relationship Id="rId7" Type="http://schemas.openxmlformats.org/officeDocument/2006/relationships/hyperlink" Target="https://makerselectronics.com/product/multilayer-ceramic-smd-capacitor-mlcc-smd-smt-100nf-%c2%b110-50v-x7r-0603/" TargetMode="External"/><Relationship Id="rId12" Type="http://schemas.openxmlformats.org/officeDocument/2006/relationships/hyperlink" Target="https://makerselectronics.com/product/smd-led-0805/" TargetMode="External"/><Relationship Id="rId17" Type="http://schemas.openxmlformats.org/officeDocument/2006/relationships/hyperlink" Target="https://makerselectronics.com/product/mpu-6050-imu-sensor-module-with-6-dof-gyroscope-accelerometer/" TargetMode="External"/><Relationship Id="rId2" Type="http://schemas.openxmlformats.org/officeDocument/2006/relationships/hyperlink" Target="https://makerselectronics.com/product/chip-resistor-smd-10k%CF%89-%C2%B11-100mw-%C2%B1100ppm-%E2%84%83-0603/" TargetMode="External"/><Relationship Id="rId16" Type="http://schemas.openxmlformats.org/officeDocument/2006/relationships/hyperlink" Target="https://store.fut-electronics.com/products/ultrasonic-sensor-module?srsltid=AfmBOoq_YJXfbLI1iDC6IVOKMJdZhO4iG-qxw_L6wWBZfpXa_Jaf7edE" TargetMode="External"/><Relationship Id="rId1" Type="http://schemas.openxmlformats.org/officeDocument/2006/relationships/hyperlink" Target="https://makerselectronics.com/product/chip-resistor-smd-330%CF%89-%C2%B15-250mw-1206/" TargetMode="External"/><Relationship Id="rId6" Type="http://schemas.openxmlformats.org/officeDocument/2006/relationships/hyperlink" Target="https://makerselectronics.com/product/multilayer-ceramic-capacitors-mlcc-smd-smt-10uf-%C2%B110-25v-0805/" TargetMode="External"/><Relationship Id="rId11" Type="http://schemas.openxmlformats.org/officeDocument/2006/relationships/hyperlink" Target="https://makerselectronics.com/product/pin-headers-female-2-54mm-40-pin/" TargetMode="External"/><Relationship Id="rId5" Type="http://schemas.openxmlformats.org/officeDocument/2006/relationships/hyperlink" Target="https://makerselectronics.com/product/chip-resistor-smd-1k%CF%89-%C2%B11-100mw-%C2%B1100ppm-%E2%84%83-0603/" TargetMode="External"/><Relationship Id="rId15" Type="http://schemas.openxmlformats.org/officeDocument/2006/relationships/hyperlink" Target="https://uge-one.com/product/usblc6-2sc6-esd-protection-tvs-unidirectional-dual-array-sot23-6/?srsltid=AfmBOoqaDx91zqxQXQ-GpplYuqR-loDjQQTuFoIu7uGVFHpXsEGgcTto" TargetMode="External"/><Relationship Id="rId10" Type="http://schemas.openxmlformats.org/officeDocument/2006/relationships/hyperlink" Target="https://makerselectronics.com/product/jst-xh-female-to-female-data-cable-3/" TargetMode="External"/><Relationship Id="rId4" Type="http://schemas.openxmlformats.org/officeDocument/2006/relationships/hyperlink" Target="https://makerselectronics.com/product/chip-resistor-smd-2k%CF%89-%C2%B15-250mw-1206/" TargetMode="External"/><Relationship Id="rId9" Type="http://schemas.openxmlformats.org/officeDocument/2006/relationships/hyperlink" Target="https://makerselectronics.com/product/jst-xh-female-to-female-data-cable/" TargetMode="External"/><Relationship Id="rId14" Type="http://schemas.openxmlformats.org/officeDocument/2006/relationships/hyperlink" Target="https://electra.store/products/adafruit-absolute-orientation-sensor-bno055-9-axis-imu?srsltid=AfmBOooeygLU8j1OKxtnAFVfxRDv0loHJKcG4H9jQ7gSv-bygm93wo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24C1-B4C9-4ACC-B036-415B12B6BC8D}">
  <dimension ref="A1:J20"/>
  <sheetViews>
    <sheetView tabSelected="1" zoomScaleNormal="100" workbookViewId="0">
      <selection activeCell="J18" sqref="J18"/>
    </sheetView>
  </sheetViews>
  <sheetFormatPr defaultRowHeight="14.4" x14ac:dyDescent="0.3"/>
  <cols>
    <col min="1" max="1" width="29.33203125" customWidth="1"/>
    <col min="2" max="2" width="19" customWidth="1"/>
    <col min="3" max="3" width="17.44140625" customWidth="1"/>
    <col min="4" max="4" width="22.33203125" customWidth="1"/>
    <col min="5" max="5" width="24.77734375" customWidth="1"/>
    <col min="6" max="6" width="12.21875" customWidth="1"/>
    <col min="7" max="8" width="12.21875" style="16" customWidth="1"/>
    <col min="9" max="9" width="19.109375" hidden="1" customWidth="1"/>
    <col min="10" max="10" width="12.664062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2" t="s">
        <v>76</v>
      </c>
      <c r="H1" s="12" t="s">
        <v>88</v>
      </c>
      <c r="I1" s="4" t="s">
        <v>75</v>
      </c>
      <c r="J1" s="4" t="s">
        <v>75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  <c r="G2" s="13">
        <v>0.5</v>
      </c>
      <c r="H2" s="14">
        <f>F2*G2</f>
        <v>2.5</v>
      </c>
      <c r="I2" s="7" t="s">
        <v>86</v>
      </c>
      <c r="J2" s="9" t="str">
        <f>HYPERLINK(I2, "View Product")</f>
        <v>View Product</v>
      </c>
    </row>
    <row r="3" spans="1:10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1</v>
      </c>
      <c r="G3" s="13">
        <v>1.25</v>
      </c>
      <c r="H3" s="14">
        <f t="shared" ref="H3:H18" si="0">F3*G3</f>
        <v>1.25</v>
      </c>
      <c r="I3" s="7" t="s">
        <v>87</v>
      </c>
      <c r="J3" s="9" t="str">
        <f>HYPERLINK(I3, "View Product")</f>
        <v>View Product</v>
      </c>
    </row>
    <row r="4" spans="1:10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  <c r="G4" s="13">
        <v>0.5</v>
      </c>
      <c r="H4" s="14">
        <f t="shared" si="0"/>
        <v>0.5</v>
      </c>
      <c r="I4" s="7" t="s">
        <v>81</v>
      </c>
      <c r="J4" s="9" t="str">
        <f>HYPERLINK(I4, "View Product")</f>
        <v>View Product</v>
      </c>
    </row>
    <row r="5" spans="1:10" x14ac:dyDescent="0.3">
      <c r="A5" s="2" t="s">
        <v>19</v>
      </c>
      <c r="B5" s="2" t="s">
        <v>20</v>
      </c>
      <c r="C5" s="2" t="s">
        <v>21</v>
      </c>
      <c r="D5" s="2" t="s">
        <v>17</v>
      </c>
      <c r="E5" s="2" t="s">
        <v>22</v>
      </c>
      <c r="F5" s="1">
        <v>1</v>
      </c>
      <c r="G5" s="13">
        <v>0.5</v>
      </c>
      <c r="H5" s="14">
        <f t="shared" si="0"/>
        <v>0.5</v>
      </c>
      <c r="I5" s="7" t="s">
        <v>81</v>
      </c>
      <c r="J5" s="9" t="str">
        <f>HYPERLINK(I5, "View Product")</f>
        <v>View Product</v>
      </c>
    </row>
    <row r="6" spans="1:10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23</v>
      </c>
      <c r="F6" s="1">
        <v>2</v>
      </c>
      <c r="G6" s="14">
        <v>2.5</v>
      </c>
      <c r="H6" s="14">
        <f t="shared" si="0"/>
        <v>5</v>
      </c>
      <c r="I6" s="7" t="s">
        <v>82</v>
      </c>
      <c r="J6" s="9" t="str">
        <f>HYPERLINK(I6, "View Product")</f>
        <v>View Product</v>
      </c>
    </row>
    <row r="7" spans="1:10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1">
        <v>1</v>
      </c>
      <c r="G7" s="14">
        <v>8</v>
      </c>
      <c r="H7" s="14">
        <f t="shared" si="0"/>
        <v>8</v>
      </c>
      <c r="I7" s="7" t="s">
        <v>83</v>
      </c>
      <c r="J7" s="9" t="str">
        <f>HYPERLINK(I7, "View Product")</f>
        <v>View Product</v>
      </c>
    </row>
    <row r="8" spans="1:10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1">
        <v>1</v>
      </c>
      <c r="G8" s="14">
        <v>6.5</v>
      </c>
      <c r="H8" s="14">
        <f t="shared" si="0"/>
        <v>6.5</v>
      </c>
      <c r="I8" s="7" t="s">
        <v>84</v>
      </c>
      <c r="J8" s="9" t="str">
        <f>HYPERLINK(I8, "View Product")</f>
        <v>View Product</v>
      </c>
    </row>
    <row r="9" spans="1:10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1">
        <v>1</v>
      </c>
      <c r="G9" s="14">
        <v>4</v>
      </c>
      <c r="H9" s="14">
        <f t="shared" si="0"/>
        <v>4</v>
      </c>
      <c r="I9" s="7" t="s">
        <v>85</v>
      </c>
      <c r="J9" s="9" t="str">
        <f>HYPERLINK(I9, "View Product")</f>
        <v>View Product</v>
      </c>
    </row>
    <row r="10" spans="1:10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1</v>
      </c>
      <c r="G10" s="14">
        <v>0.15</v>
      </c>
      <c r="H10" s="14">
        <f t="shared" si="0"/>
        <v>0.15</v>
      </c>
      <c r="I10" s="8" t="s">
        <v>89</v>
      </c>
      <c r="J10" s="9" t="str">
        <f>HYPERLINK(I10, "View Product")</f>
        <v>View Product</v>
      </c>
    </row>
    <row r="11" spans="1:10" x14ac:dyDescent="0.3">
      <c r="A11" s="2" t="s">
        <v>47</v>
      </c>
      <c r="B11" s="2" t="s">
        <v>48</v>
      </c>
      <c r="C11" s="2" t="s">
        <v>49</v>
      </c>
      <c r="D11" s="2" t="s">
        <v>45</v>
      </c>
      <c r="E11" s="2" t="s">
        <v>46</v>
      </c>
      <c r="F11" s="1">
        <v>1</v>
      </c>
      <c r="G11" s="14">
        <v>0.2</v>
      </c>
      <c r="H11" s="14">
        <f t="shared" si="0"/>
        <v>0.2</v>
      </c>
      <c r="I11" s="8" t="s">
        <v>90</v>
      </c>
      <c r="J11" s="9" t="str">
        <f>HYPERLINK(I11, "View Product")</f>
        <v>View Product</v>
      </c>
    </row>
    <row r="12" spans="1:10" x14ac:dyDescent="0.3">
      <c r="A12" s="2" t="s">
        <v>50</v>
      </c>
      <c r="B12" s="2" t="s">
        <v>51</v>
      </c>
      <c r="C12" s="2" t="s">
        <v>52</v>
      </c>
      <c r="D12" s="2" t="s">
        <v>45</v>
      </c>
      <c r="E12" s="2" t="s">
        <v>46</v>
      </c>
      <c r="F12" s="1">
        <v>2</v>
      </c>
      <c r="G12" s="14">
        <v>0.15</v>
      </c>
      <c r="H12" s="14">
        <f t="shared" si="0"/>
        <v>0.3</v>
      </c>
      <c r="I12" s="9" t="s">
        <v>91</v>
      </c>
      <c r="J12" s="9" t="str">
        <f>HYPERLINK(I12, "View Product")</f>
        <v>View Product</v>
      </c>
    </row>
    <row r="13" spans="1:10" x14ac:dyDescent="0.3">
      <c r="A13" s="2" t="s">
        <v>53</v>
      </c>
      <c r="B13" s="2" t="s">
        <v>54</v>
      </c>
      <c r="C13" s="2" t="s">
        <v>55</v>
      </c>
      <c r="D13" s="2" t="s">
        <v>45</v>
      </c>
      <c r="E13" s="2" t="s">
        <v>46</v>
      </c>
      <c r="F13" s="1">
        <v>1</v>
      </c>
      <c r="G13" s="14">
        <v>0.15</v>
      </c>
      <c r="H13" s="14">
        <f t="shared" si="0"/>
        <v>0.15</v>
      </c>
      <c r="I13" s="9" t="s">
        <v>92</v>
      </c>
      <c r="J13" s="9" t="str">
        <f>HYPERLINK(I13, "View Product")</f>
        <v>View Product</v>
      </c>
    </row>
    <row r="14" spans="1:10" x14ac:dyDescent="0.3">
      <c r="A14" s="2" t="s">
        <v>56</v>
      </c>
      <c r="B14" s="2" t="s">
        <v>57</v>
      </c>
      <c r="C14" s="2" t="s">
        <v>58</v>
      </c>
      <c r="D14" s="2" t="s">
        <v>45</v>
      </c>
      <c r="E14" s="2" t="s">
        <v>46</v>
      </c>
      <c r="F14" s="1">
        <v>2</v>
      </c>
      <c r="G14" s="14">
        <v>0.2</v>
      </c>
      <c r="H14" s="14">
        <f t="shared" si="0"/>
        <v>0.4</v>
      </c>
      <c r="I14" s="9" t="s">
        <v>93</v>
      </c>
      <c r="J14" s="9" t="str">
        <f>HYPERLINK(I14, "View Product")</f>
        <v>View Product</v>
      </c>
    </row>
    <row r="15" spans="1:10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  <c r="F15" s="1">
        <v>1</v>
      </c>
      <c r="G15" s="13">
        <v>100</v>
      </c>
      <c r="H15" s="14">
        <f t="shared" si="0"/>
        <v>100</v>
      </c>
      <c r="I15" s="6" t="s">
        <v>77</v>
      </c>
      <c r="J15" s="9" t="str">
        <f>HYPERLINK(I15, "View Product")</f>
        <v>View Product</v>
      </c>
    </row>
    <row r="16" spans="1:10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63</v>
      </c>
      <c r="F16" s="1">
        <v>1</v>
      </c>
      <c r="G16" s="13">
        <v>55</v>
      </c>
      <c r="H16" s="14">
        <f t="shared" si="0"/>
        <v>55</v>
      </c>
      <c r="I16" s="5" t="s">
        <v>78</v>
      </c>
      <c r="J16" s="9" t="str">
        <f>HYPERLINK(I16, "View Product")</f>
        <v>View Product</v>
      </c>
    </row>
    <row r="17" spans="1:10" x14ac:dyDescent="0.3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67</v>
      </c>
      <c r="F17" s="1">
        <v>1</v>
      </c>
      <c r="G17" s="13">
        <v>12</v>
      </c>
      <c r="H17" s="14">
        <f t="shared" si="0"/>
        <v>12</v>
      </c>
      <c r="I17" s="5" t="s">
        <v>79</v>
      </c>
      <c r="J17" s="9" t="str">
        <f>HYPERLINK(I17, "View Product")</f>
        <v>View Product</v>
      </c>
    </row>
    <row r="18" spans="1:10" x14ac:dyDescent="0.3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71</v>
      </c>
      <c r="F18" s="1">
        <v>1</v>
      </c>
      <c r="G18" s="14">
        <v>3875</v>
      </c>
      <c r="H18" s="14">
        <f t="shared" si="0"/>
        <v>3875</v>
      </c>
      <c r="I18" s="7" t="s">
        <v>80</v>
      </c>
      <c r="J18" s="9" t="str">
        <f>HYPERLINK(I18, "View Product")</f>
        <v>View Product</v>
      </c>
    </row>
    <row r="20" spans="1:10" s="10" customFormat="1" x14ac:dyDescent="0.3">
      <c r="D20" s="11" t="s">
        <v>94</v>
      </c>
      <c r="E20" s="15">
        <f>SUM(H2:H18)</f>
        <v>4071.45</v>
      </c>
      <c r="G20" s="15"/>
      <c r="H20" s="15"/>
    </row>
  </sheetData>
  <hyperlinks>
    <hyperlink ref="I14" r:id="rId1" xr:uid="{B9F6A5A3-FFA4-4BA5-9663-762757328A5A}"/>
    <hyperlink ref="I13" r:id="rId2" xr:uid="{376F29A8-0B00-42C1-AF41-E1857CF2D34E}"/>
    <hyperlink ref="I12" r:id="rId3" xr:uid="{D6E72A1E-C661-4AB0-B007-4284EECAD4C9}"/>
    <hyperlink ref="I11" r:id="rId4" xr:uid="{05D19FB3-19D6-4312-9A41-7FF9EDDE113A}"/>
    <hyperlink ref="I10" r:id="rId5" xr:uid="{A39A1391-09FF-4C08-A88F-4DE633CFA82B}"/>
    <hyperlink ref="I3" r:id="rId6" xr:uid="{74709D72-32AE-4C43-AF78-238ED3E89510}"/>
    <hyperlink ref="I2" r:id="rId7" xr:uid="{C5116E52-08E1-4981-8194-FE664194D31B}"/>
    <hyperlink ref="I9" r:id="rId8" xr:uid="{97209A6F-E4B1-4E85-8722-28114B6D3721}"/>
    <hyperlink ref="I8" r:id="rId9" xr:uid="{B9FA707D-04D5-4D1E-958E-8F6E4BD183C3}"/>
    <hyperlink ref="I7" r:id="rId10" xr:uid="{0AB2A755-D93D-469E-91EA-417A262C91AC}"/>
    <hyperlink ref="I6" r:id="rId11" xr:uid="{526156BC-0601-4EE1-A7F7-472D23AF9F41}"/>
    <hyperlink ref="I5" r:id="rId12" xr:uid="{F24FC46C-B695-4741-BC6C-91F2BA3AE48C}"/>
    <hyperlink ref="I4" r:id="rId13" xr:uid="{B530FF74-0A49-4C50-9B73-133BB8270318}"/>
    <hyperlink ref="I18" r:id="rId14" xr:uid="{2ECEEBA5-E765-4131-A1AB-093E51F80795}"/>
    <hyperlink ref="I17" r:id="rId15" xr:uid="{8CDE79DC-AEB3-4A19-9CDC-E58CE5824A90}"/>
    <hyperlink ref="I16" r:id="rId16" xr:uid="{82728EFE-7E12-4BB0-9E6B-EB75A0225C89}"/>
    <hyperlink ref="I15" r:id="rId17" display="https://makerselectronics.com/product/mpu-6050-imu-sensor-module-with-6-dof-gyroscope-accelerometer/" xr:uid="{B6373121-62D0-4E6E-B415-296D53721F7E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MIA_Task10.2-Sensors</vt:lpstr>
      <vt:lpstr>'MIA_Task10.2-Sensors'!Print_Titles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Rawaa Amer</dc:creator>
  <cp:lastModifiedBy>Rawaa Amer</cp:lastModifiedBy>
  <dcterms:created xsi:type="dcterms:W3CDTF">2026-09-01T18:36:41Z</dcterms:created>
  <dcterms:modified xsi:type="dcterms:W3CDTF">2026-09-01T19:27:39Z</dcterms:modified>
</cp:coreProperties>
</file>